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c006898\Desktop\"/>
    </mc:Choice>
  </mc:AlternateContent>
  <bookViews>
    <workbookView xWindow="0" yWindow="0" windowWidth="20490" windowHeight="8235" activeTab="1"/>
  </bookViews>
  <sheets>
    <sheet name="info" sheetId="1" r:id="rId1"/>
    <sheet name="dado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" l="1"/>
  <c r="B44" i="1"/>
  <c r="B38" i="1"/>
  <c r="D16" i="1"/>
  <c r="D15" i="1"/>
  <c r="D14" i="1"/>
  <c r="D13" i="1"/>
  <c r="G88" i="1"/>
  <c r="G25" i="1"/>
  <c r="G87" i="1"/>
  <c r="G26" i="1"/>
  <c r="G73" i="1"/>
  <c r="G65" i="1"/>
  <c r="G72" i="1"/>
  <c r="G79" i="1"/>
  <c r="G71" i="1"/>
  <c r="G80" i="1"/>
  <c r="G81" i="1"/>
  <c r="G58" i="1"/>
  <c r="G57" i="1"/>
  <c r="G24" i="1"/>
  <c r="G51" i="1"/>
  <c r="G64" i="1"/>
  <c r="G38" i="1"/>
  <c r="G45" i="1"/>
  <c r="G13" i="1"/>
  <c r="G15" i="1"/>
  <c r="G44" i="1"/>
  <c r="G16" i="1"/>
  <c r="G14" i="1"/>
</calcChain>
</file>

<file path=xl/sharedStrings.xml><?xml version="1.0" encoding="utf-8"?>
<sst xmlns="http://schemas.openxmlformats.org/spreadsheetml/2006/main" count="51" uniqueCount="49">
  <si>
    <t>ID</t>
  </si>
  <si>
    <t>ATIVO</t>
  </si>
  <si>
    <t>false</t>
  </si>
  <si>
    <t>Esta planilha apresenta diversas funções para auxiliar o desenvolvedor na criação de scripts de inserção de dados</t>
  </si>
  <si>
    <t>no banco de dados. Abaixo está descritas as funções disponíveis:</t>
  </si>
  <si>
    <t>INSERT("nome_da_tabela";"colunas";"valores");</t>
  </si>
  <si>
    <t>Essa função cria o script de insert baseando-se na estrutura atual da tabela, conforme exemplo:</t>
  </si>
  <si>
    <t>TABELA_1</t>
  </si>
  <si>
    <t>DESC</t>
  </si>
  <si>
    <t>DT_CRIACAO</t>
  </si>
  <si>
    <t>descricao_1</t>
  </si>
  <si>
    <t>descricao_2</t>
  </si>
  <si>
    <t>descricao_3</t>
  </si>
  <si>
    <t>descricao_4</t>
  </si>
  <si>
    <t>true</t>
  </si>
  <si>
    <t>INSERT_COM_SEQUENCE("nome_da_tabela";"colunas";"valores";"nome_da_coluna_com_sequence";"nome_da_sequence"</t>
  </si>
  <si>
    <t>Essa função cria o script de insert baseando-se numa tabela que contenha sequence, conforme exemplo abaixo</t>
  </si>
  <si>
    <t>TABELA_2</t>
  </si>
  <si>
    <t>VALOR</t>
  </si>
  <si>
    <t>caixa d'agua</t>
  </si>
  <si>
    <t>Negrão, Walter</t>
  </si>
  <si>
    <t>Espelho</t>
  </si>
  <si>
    <t>FUNÇÕES AUXILIARES</t>
  </si>
  <si>
    <t>VALOR_DATA("data")</t>
  </si>
  <si>
    <t>As funções abaixo ajudam ao desenvolvedor a criar um script de insert customizado. As funções são:</t>
  </si>
  <si>
    <t>Adiciona uma data como parâmetro no insert</t>
  </si>
  <si>
    <t>VALOR_DATA_AVANCADO("valor";"separador")</t>
  </si>
  <si>
    <t>Adiciona uma data como parâmetro no insert, porém com separador próprio. Caso seja o último parâmetro utilizado no insert, basta utilizar ""</t>
  </si>
  <si>
    <t>VALOR_NULL()</t>
  </si>
  <si>
    <t>Adiciona Null como parâmetro</t>
  </si>
  <si>
    <t>VALOR_NULL_AVANCADO("separador")</t>
  </si>
  <si>
    <t>Adiciona Null como parâmetro no insert, porém com separador próprio. Caso seja o último parâmetro utilizado no insert, basta utilizar ""</t>
  </si>
  <si>
    <t>VALOR_NUMERO("valor")</t>
  </si>
  <si>
    <t>Adiciona um número como parâmetro</t>
  </si>
  <si>
    <t>VALOR_NUMERO_AVANCADO("valor";"ponto_para_virgula";"separador")</t>
  </si>
  <si>
    <t>VALOR_TEXTO(valor;maiusculo)</t>
  </si>
  <si>
    <t>Adiciona um texto como parâmetro, podendo definir se deve haver conversão para maiúsculo ou não, além do separador</t>
  </si>
  <si>
    <t>Adiciona um número como parâmetro, podendo indicar se deve haver conversão de vírgula para ponto, além do separador</t>
  </si>
  <si>
    <t>água</t>
  </si>
  <si>
    <t>d'água</t>
  </si>
  <si>
    <t>um, ou dois</t>
  </si>
  <si>
    <t>VALOR_TEXTO_AVANCADO("valor";"maiusculo";"separador")</t>
  </si>
  <si>
    <t>Adiciona um texto como parâmetro, podendo definir se deve haver conversão para maiúsculo ou não.</t>
  </si>
  <si>
    <t>texto</t>
  </si>
  <si>
    <t>texTO</t>
  </si>
  <si>
    <t>Dúvidas ou sugestões:</t>
  </si>
  <si>
    <t>lombardi2008@gmail.com</t>
  </si>
  <si>
    <t>Luís Lombardi</t>
  </si>
  <si>
    <t>CRIAÇÃO DE INSERT / UPDATE BASEADO EM PLANILHAS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</si>
</sst>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14" fontId="0" fillId="3" borderId="0" xfId="0" applyNumberFormat="1" applyFill="1"/>
    <xf numFmtId="0" fontId="0" fillId="3" borderId="9" xfId="0" applyFill="1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4" fontId="0" fillId="3" borderId="9" xfId="0" applyNumberForma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14" fontId="0" fillId="3" borderId="10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0" xfId="0" applyFill="1"/>
    <xf numFmtId="0" fontId="0" fillId="3" borderId="0" xfId="0" applyFill="1" applyAlignment="1">
      <alignment horizontal="right"/>
    </xf>
    <xf numFmtId="4" fontId="0" fillId="3" borderId="0" xfId="0" applyNumberFormat="1" applyFill="1" applyAlignment="1">
      <alignment horizontal="right"/>
    </xf>
    <xf numFmtId="0" fontId="2" fillId="3" borderId="0" xfId="1" applyFill="1"/>
    <xf numFmtId="0" fontId="1" fillId="3" borderId="0" xfId="0" applyFont="1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ombardi200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P115"/>
  <sheetViews>
    <sheetView zoomScaleNormal="100" workbookViewId="0"/>
  </sheetViews>
  <sheetFormatPr defaultRowHeight="15" x14ac:dyDescent="0.25"/>
  <cols>
    <col min="2" max="2" width="11" customWidth="1"/>
    <col min="3" max="3" width="12.25" bestFit="1" customWidth="1"/>
    <col min="4" max="4" width="10.75" bestFit="1" customWidth="1"/>
    <col min="5" max="5" width="5.75" bestFit="1" customWidth="1"/>
    <col min="7" max="7" width="10.375" bestFit="1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0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6" x14ac:dyDescent="0.25">
      <c r="A3" s="2"/>
      <c r="B3" s="24" t="s">
        <v>48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"/>
    </row>
    <row r="4" spans="1:16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6" x14ac:dyDescent="0.25">
      <c r="A5" s="2"/>
      <c r="B5" s="2" t="s">
        <v>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6" x14ac:dyDescent="0.25">
      <c r="A6" s="2"/>
      <c r="B6" s="2" t="s">
        <v>4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6" x14ac:dyDescent="0.25">
      <c r="A8" s="2"/>
      <c r="B8" s="3" t="s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6" x14ac:dyDescent="0.25">
      <c r="A9" s="2"/>
      <c r="B9" s="2" t="s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ht="15.75" thickBo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6" ht="15.75" thickBot="1" x14ac:dyDescent="0.3">
      <c r="A11" s="2"/>
      <c r="B11" s="25" t="s">
        <v>7</v>
      </c>
      <c r="C11" s="26"/>
      <c r="D11" s="26"/>
      <c r="E11" s="27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6" ht="15.75" thickBot="1" x14ac:dyDescent="0.3">
      <c r="A12" s="2"/>
      <c r="B12" s="18" t="s">
        <v>0</v>
      </c>
      <c r="C12" s="15" t="s">
        <v>8</v>
      </c>
      <c r="D12" s="15" t="s">
        <v>9</v>
      </c>
      <c r="E12" s="19" t="s">
        <v>1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x14ac:dyDescent="0.25">
      <c r="A13" s="2"/>
      <c r="B13" s="7">
        <v>1</v>
      </c>
      <c r="C13" s="8" t="s">
        <v>10</v>
      </c>
      <c r="D13" s="9">
        <f ca="1">TODAY()-RANDBETWEEN(1,150)</f>
        <v>42812</v>
      </c>
      <c r="E13" s="10">
        <v>1</v>
      </c>
      <c r="F13" s="2"/>
      <c r="G13" s="2" t="str">
        <f ca="1">_xludf.INSERT("TABELA_1",$B$12:$E$12,B13:E13)</f>
        <v>INSERT INTO TABELA_1 (ID, DESC, DT_CRIACAO, ATIVO) VALUES (1,'DESCRICAO_1','18/03/2017',1);</v>
      </c>
      <c r="H13" s="2"/>
      <c r="I13" s="2"/>
      <c r="J13" s="2"/>
      <c r="K13" s="2"/>
      <c r="L13" s="2"/>
      <c r="M13" s="2"/>
      <c r="N13" s="2"/>
      <c r="O13" s="2"/>
    </row>
    <row r="14" spans="1:16" x14ac:dyDescent="0.25">
      <c r="A14" s="2"/>
      <c r="B14" s="7">
        <v>2</v>
      </c>
      <c r="C14" s="8" t="s">
        <v>11</v>
      </c>
      <c r="D14" s="9">
        <f ca="1">TODAY()-RANDBETWEEN(1,150)</f>
        <v>42820</v>
      </c>
      <c r="E14" s="10">
        <v>0</v>
      </c>
      <c r="F14" s="2"/>
      <c r="G14" s="2" t="str">
        <f t="shared" ref="G14:G16" ca="1" si="0">_xludf.INSERT("TABELA_1",$B$12:$E$12,B14:E14)</f>
        <v>INSERT INTO TABELA_1 (ID, DESC, DT_CRIACAO, ATIVO) VALUES (2,'DESCRICAO_2','26/03/2017',0);</v>
      </c>
      <c r="H14" s="2"/>
      <c r="I14" s="2"/>
      <c r="J14" s="2"/>
      <c r="K14" s="2"/>
      <c r="L14" s="2"/>
      <c r="M14" s="2"/>
      <c r="N14" s="2"/>
      <c r="O14" s="2"/>
    </row>
    <row r="15" spans="1:16" x14ac:dyDescent="0.25">
      <c r="A15" s="2"/>
      <c r="B15" s="7">
        <v>3</v>
      </c>
      <c r="C15" s="8" t="s">
        <v>12</v>
      </c>
      <c r="D15" s="9">
        <f ca="1">TODAY()-RANDBETWEEN(1,150)</f>
        <v>42754</v>
      </c>
      <c r="E15" s="10" t="s">
        <v>14</v>
      </c>
      <c r="F15" s="2"/>
      <c r="G15" s="2" t="str">
        <f t="shared" ca="1" si="0"/>
        <v>INSERT INTO TABELA_1 (ID, DESC, DT_CRIACAO, ATIVO) VALUES (3,'DESCRICAO_3','19/01/2017',1);</v>
      </c>
      <c r="H15" s="2"/>
      <c r="I15" s="2"/>
      <c r="J15" s="2"/>
      <c r="K15" s="2"/>
      <c r="L15" s="2"/>
      <c r="M15" s="2"/>
      <c r="N15" s="2"/>
      <c r="O15" s="2"/>
    </row>
    <row r="16" spans="1:16" ht="15.75" thickBot="1" x14ac:dyDescent="0.3">
      <c r="A16" s="2"/>
      <c r="B16" s="11">
        <v>4</v>
      </c>
      <c r="C16" s="12" t="s">
        <v>13</v>
      </c>
      <c r="D16" s="13">
        <f ca="1">TODAY()-RANDBETWEEN(1,150)</f>
        <v>42730</v>
      </c>
      <c r="E16" s="14" t="s">
        <v>2</v>
      </c>
      <c r="F16" s="2"/>
      <c r="G16" s="2" t="str">
        <f t="shared" ca="1" si="0"/>
        <v>INSERT INTO TABELA_1 (ID, DESC, DT_CRIACAO, ATIVO) VALUES (4,'DESCRICAO_4','26/12/2016',0);</v>
      </c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3" t="s"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 t="s">
        <v>16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5.75" thickBot="1" x14ac:dyDescent="0.3">
      <c r="A22" s="2"/>
      <c r="B22" s="25" t="s">
        <v>17</v>
      </c>
      <c r="C22" s="26"/>
      <c r="D22" s="2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75" thickBot="1" x14ac:dyDescent="0.3">
      <c r="A23" s="2"/>
      <c r="B23" s="15" t="s">
        <v>0</v>
      </c>
      <c r="C23" s="15" t="s">
        <v>8</v>
      </c>
      <c r="D23" s="15" t="s">
        <v>18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5"/>
      <c r="C24" s="16" t="s">
        <v>19</v>
      </c>
      <c r="D24" s="8">
        <v>1</v>
      </c>
      <c r="E24" s="2"/>
      <c r="F24" s="2"/>
      <c r="G24" s="2" t="str">
        <f>INSERT_COM_SEQUENCE($B$22,$B$23:$D$23,B24:D24,$B$23,"TAB2_SEQ")</f>
        <v>INSERT INTO TABELA_2 (ID, DESC, VALOR) VALUES (TAB2_SEQ.NEXTVAL,'CAIXA D''AGUA',1);</v>
      </c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5"/>
      <c r="C25" s="16" t="s">
        <v>20</v>
      </c>
      <c r="D25" s="8">
        <v>1.6</v>
      </c>
      <c r="E25" s="2"/>
      <c r="F25" s="2"/>
      <c r="G25" s="2" t="str">
        <f t="shared" ref="G25:G26" si="1">INSERT_COM_SEQUENCE($B$22,$B$23:$D$23,B25:D25,$B$23,"TAB2_SEQ")</f>
        <v>INSERT INTO TABELA_2 (ID, DESC, VALOR) VALUES (TAB2_SEQ.NEXTVAL,'NEGRÃO, WALTER',1.6);</v>
      </c>
      <c r="H25" s="2"/>
      <c r="I25" s="2"/>
      <c r="J25" s="2"/>
      <c r="K25" s="2"/>
      <c r="L25" s="2"/>
      <c r="M25" s="2"/>
      <c r="N25" s="2"/>
      <c r="O25" s="2"/>
    </row>
    <row r="26" spans="1:15" ht="15.75" thickBot="1" x14ac:dyDescent="0.3">
      <c r="A26" s="2"/>
      <c r="B26" s="6"/>
      <c r="C26" s="17" t="s">
        <v>21</v>
      </c>
      <c r="D26" s="12">
        <v>0.8</v>
      </c>
      <c r="E26" s="2"/>
      <c r="F26" s="2"/>
      <c r="G26" s="2" t="str">
        <f t="shared" si="1"/>
        <v>INSERT INTO TABELA_2 (ID, DESC, VALOR) VALUES (TAB2_SEQ.NEXTVAL,'ESPELHO',0.8);</v>
      </c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4" t="s">
        <v>22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2"/>
      <c r="B33" s="2" t="s">
        <v>24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2"/>
      <c r="B35" s="3" t="s">
        <v>23</v>
      </c>
      <c r="C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2"/>
      <c r="B36" s="2" t="s">
        <v>25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2"/>
      <c r="B38" s="4">
        <f ca="1">TODAY()</f>
        <v>42871</v>
      </c>
      <c r="C38" s="2"/>
      <c r="D38" s="2"/>
      <c r="E38" s="2"/>
      <c r="F38" s="2"/>
      <c r="G38" s="2" t="str">
        <f ca="1">VALOR_DATA(B38)</f>
        <v>'16/05/2017',</v>
      </c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/>
      <c r="B41" s="3" t="s">
        <v>26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/>
      <c r="B42" s="2" t="s">
        <v>27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2"/>
      <c r="B44" s="4">
        <f ca="1">TODAY()</f>
        <v>42871</v>
      </c>
      <c r="C44" s="2"/>
      <c r="D44" s="2"/>
      <c r="E44" s="2"/>
      <c r="F44" s="2"/>
      <c r="G44" s="2" t="str">
        <f ca="1">VALOR_DATA_AVANCADO(B44,"$")</f>
        <v>'16/05/2017'$</v>
      </c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2"/>
      <c r="B45" s="4">
        <f ca="1">TODAY()-1</f>
        <v>42870</v>
      </c>
      <c r="C45" s="2"/>
      <c r="D45" s="2"/>
      <c r="E45" s="2"/>
      <c r="F45" s="2"/>
      <c r="G45" s="4" t="str">
        <f ca="1">VALOR_DATA_AVANCADO(B45,"")</f>
        <v>'15/05/2017'</v>
      </c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2"/>
      <c r="B46" s="4"/>
      <c r="C46" s="2"/>
      <c r="D46" s="2"/>
      <c r="E46" s="2"/>
      <c r="F46" s="2"/>
      <c r="G46" s="4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2"/>
      <c r="B48" s="3" t="s">
        <v>28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 t="s">
        <v>29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 t="str">
        <f>VALOR_NULL()</f>
        <v>NULL,</v>
      </c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3" t="s">
        <v>30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 t="s">
        <v>31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 t="str">
        <f>VALOR_NULL_AVANCADO("¨")</f>
        <v>NULL¨</v>
      </c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 t="str">
        <f>VALOR_NULL_AVANCADO("")</f>
        <v>NULL</v>
      </c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3" t="s">
        <v>32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 t="s">
        <v>33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>
        <v>1</v>
      </c>
      <c r="C64" s="2"/>
      <c r="D64" s="2"/>
      <c r="E64" s="2"/>
      <c r="F64" s="2"/>
      <c r="G64" s="2" t="str">
        <f>VALOR_NUMERO(B64)</f>
        <v>1,</v>
      </c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2">
        <v>1.68</v>
      </c>
      <c r="C65" s="2"/>
      <c r="D65" s="2"/>
      <c r="E65" s="2"/>
      <c r="F65" s="2"/>
      <c r="G65" s="2" t="str">
        <f>VALOR_NUMERO(B65)</f>
        <v>1.68,</v>
      </c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3" t="s">
        <v>34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 t="s">
        <v>37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>
        <v>1</v>
      </c>
      <c r="C71" s="2"/>
      <c r="D71" s="2"/>
      <c r="E71" s="2"/>
      <c r="F71" s="2"/>
      <c r="G71" s="2" t="str">
        <f>VALOR_NUMERO_AVANCADO(B71,0,"")</f>
        <v>1</v>
      </c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1">
        <v>3.14</v>
      </c>
      <c r="C72" s="2"/>
      <c r="D72" s="2"/>
      <c r="E72" s="2"/>
      <c r="F72" s="2"/>
      <c r="G72" s="2" t="str">
        <f>VALOR_NUMERO_AVANCADO(B72,0,"")</f>
        <v>3,14</v>
      </c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1">
        <v>3.14</v>
      </c>
      <c r="C73" s="2"/>
      <c r="D73" s="2"/>
      <c r="E73" s="2"/>
      <c r="F73" s="2"/>
      <c r="G73" s="2" t="str">
        <f>VALOR_NUMERO_AVANCADO(B73,1,"")</f>
        <v>3.14</v>
      </c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3" t="s">
        <v>35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 t="s">
        <v>42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 t="s">
        <v>38</v>
      </c>
      <c r="C79" s="2"/>
      <c r="D79" s="2"/>
      <c r="E79" s="2"/>
      <c r="F79" s="2"/>
      <c r="G79" s="2" t="str">
        <f>VALOR_TEXTO(B79,0)</f>
        <v>'água',</v>
      </c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 t="s">
        <v>39</v>
      </c>
      <c r="C80" s="2"/>
      <c r="D80" s="2"/>
      <c r="E80" s="2"/>
      <c r="F80" s="2"/>
      <c r="G80" s="2" t="str">
        <f>VALOR_TEXTO(B80,1)</f>
        <v>'D''ÁGUA',</v>
      </c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 t="s">
        <v>40</v>
      </c>
      <c r="C81" s="2"/>
      <c r="D81" s="2"/>
      <c r="E81" s="2"/>
      <c r="F81" s="2"/>
      <c r="G81" s="2" t="str">
        <f>VALOR_TEXTO(B81,1)</f>
        <v>'UM, OU DOIS',</v>
      </c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3" t="s">
        <v>41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 t="s">
        <v>36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 t="s">
        <v>43</v>
      </c>
      <c r="C87" s="2"/>
      <c r="D87" s="2"/>
      <c r="E87" s="2"/>
      <c r="F87" s="2"/>
      <c r="G87" s="2" t="str">
        <f>VALOR_TEXTO_AVANCADO(B87,1,"")</f>
        <v>'TEXTO'</v>
      </c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 t="s">
        <v>44</v>
      </c>
      <c r="C88" s="2"/>
      <c r="D88" s="2"/>
      <c r="E88" s="2"/>
      <c r="F88" s="2"/>
      <c r="G88" s="2" t="str">
        <f>VALOR_TEXTO_AVANCADO(B88,0,"")</f>
        <v>'texTO'</v>
      </c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 t="s">
        <v>45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t="s">
        <v>47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3" t="s">
        <v>46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6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</row>
    <row r="99" spans="1:16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</row>
    <row r="100" spans="1:16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</row>
    <row r="101" spans="1:16" x14ac:dyDescent="0.2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</row>
    <row r="102" spans="1:16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</row>
    <row r="103" spans="1:16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</row>
    <row r="104" spans="1:16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</row>
    <row r="105" spans="1:16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</row>
    <row r="106" spans="1:16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</row>
    <row r="107" spans="1:16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</row>
    <row r="108" spans="1:16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</row>
    <row r="109" spans="1:16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</row>
    <row r="110" spans="1:16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</row>
    <row r="111" spans="1:16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</row>
    <row r="112" spans="1:16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</row>
    <row r="113" spans="1:16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</row>
    <row r="114" spans="1:16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</row>
    <row r="115" spans="1:16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</row>
  </sheetData>
  <mergeCells count="4">
    <mergeCell ref="B30:N30"/>
    <mergeCell ref="B11:E11"/>
    <mergeCell ref="B22:D22"/>
    <mergeCell ref="B3:N3"/>
  </mergeCells>
  <hyperlinks>
    <hyperlink ref="B94" r:id="rId1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tabSelected="1" zoomScaleNormal="1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</vt:lpstr>
      <vt:lpstr>dados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Gustavo do Nascimento Lombardi</dc:creator>
  <cp:lastModifiedBy>Luis Gustavo do Nascimento Lombardi</cp:lastModifiedBy>
  <dcterms:created xsi:type="dcterms:W3CDTF">2017-03-20T19:25:30Z</dcterms:created>
  <dcterms:modified xsi:type="dcterms:W3CDTF">2017-05-16T18:55:00Z</dcterms:modified>
</cp:coreProperties>
</file>